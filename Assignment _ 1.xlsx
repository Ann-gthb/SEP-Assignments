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<sst xmlns="http://schemas.openxmlformats.org/spreadsheetml/2006/main" count="161" uniqueCount="51">
  <si>
    <t>OrderDate</t>
  </si>
  <si>
    <t>Region</t>
  </si>
  <si>
    <t>Rep</t>
  </si>
  <si>
    <t>Item</t>
  </si>
  <si>
    <t>Units</t>
  </si>
  <si>
    <t>Unit Cost</t>
  </si>
  <si>
    <t>Total</t>
  </si>
  <si>
    <t>Q16</t>
  </si>
  <si>
    <t>Q17</t>
  </si>
  <si>
    <t>Q18</t>
  </si>
  <si>
    <t>TAX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</si>
  <si>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</si>
  <si>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</si>
  <si>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</si>
  <si>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</si>
  <si>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</si>
  <si>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</si>
  <si>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</si>
  <si>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</si>
  <si>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</si>
  <si>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</si>
  <si>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</si>
  <si>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</si>
  <si>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</si>
  <si>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</si>
  <si>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</si>
  <si>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</si>
  <si>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</si>
  <si>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</si>
  <si>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</si>
  <si>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Q1</t>
  </si>
  <si>
    <t>Q2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</si>
  <si>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</si>
  <si>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</si>
  <si>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</si>
  <si>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</si>
  <si>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</si>
  <si>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</si>
  <si>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</si>
  <si>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</si>
  <si>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</si>
  <si>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</si>
  <si>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</si>
  <si>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</si>
  <si>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Q19</t>
  </si>
  <si>
    <t>Q20</t>
  </si>
  <si>
    <t>Q21</t>
  </si>
  <si>
    <t>Q22</t>
  </si>
  <si>
    <t>Q23</t>
  </si>
  <si>
    <t>Q24</t>
  </si>
  <si>
    <t>Q25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</si>
</sst>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_);\(0.00\)"/>
  </numFmts>
  <fonts count="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  <scheme val="minor"/>
    </font>
    <font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right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3" numFmtId="165" xfId="0" applyAlignment="1" applyFont="1" applyNumberFormat="1">
      <alignment horizontal="right"/>
    </xf>
    <xf borderId="0" fillId="0" fontId="2" numFmtId="0" xfId="0" applyFont="1"/>
    <xf borderId="0" fillId="0" fontId="2" numFmtId="165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>
      <c r="A2" s="5">
        <v>46028.0</v>
      </c>
      <c r="B2" s="6" t="s">
        <v>11</v>
      </c>
      <c r="C2" s="6" t="s">
        <v>12</v>
      </c>
      <c r="D2" s="6" t="s">
        <v>13</v>
      </c>
      <c r="E2" s="7">
        <v>95.0</v>
      </c>
      <c r="F2" s="8">
        <v>1.99</v>
      </c>
      <c r="G2" s="8">
        <f>E2*F2</f>
        <v>189.05</v>
      </c>
      <c r="H2" s="9" t="str">
        <f t="shared" ref="H2:H44" si="1">IF(G2&gt;500, "High Value", "Standard")</f>
        <v>Standard</v>
      </c>
      <c r="I2" s="9" t="str">
        <f t="shared" ref="I2:I44" si="2">IF(E2&gt;75, "Bulk", IF(E2&gt;=30, "Medium", "Small"))</f>
        <v>Bulk</v>
      </c>
      <c r="J2" s="9" t="str">
        <f t="shared" ref="J2:J44" si="3">C2 &amp; " (" &amp; B2 &amp; ")"</f>
        <v>Jones (East)</v>
      </c>
      <c r="K2" s="9">
        <f t="shared" ref="K2:K44" si="4">G2 * 0.1</f>
        <v>18.905</v>
      </c>
    </row>
    <row r="3">
      <c r="A3" s="5">
        <v>46045.0</v>
      </c>
      <c r="B3" s="6" t="s">
        <v>14</v>
      </c>
      <c r="C3" s="6" t="s">
        <v>15</v>
      </c>
      <c r="D3" s="6" t="s">
        <v>16</v>
      </c>
      <c r="E3" s="7">
        <v>50.0</v>
      </c>
      <c r="F3" s="8">
        <v>19.99</v>
      </c>
      <c r="G3" s="8">
        <v>999.4999999999999</v>
      </c>
      <c r="H3" s="9" t="str">
        <f t="shared" si="1"/>
        <v>High Value</v>
      </c>
      <c r="I3" s="9" t="str">
        <f t="shared" si="2"/>
        <v>Medium</v>
      </c>
      <c r="J3" s="9" t="str">
        <f t="shared" si="3"/>
        <v>Kivell (Central)</v>
      </c>
      <c r="K3" s="9">
        <f t="shared" si="4"/>
        <v>99.95</v>
      </c>
    </row>
    <row r="4">
      <c r="A4" s="5">
        <v>46062.0</v>
      </c>
      <c r="B4" s="6" t="s">
        <v>14</v>
      </c>
      <c r="C4" s="6" t="s">
        <v>17</v>
      </c>
      <c r="D4" s="6" t="s">
        <v>13</v>
      </c>
      <c r="E4" s="7">
        <v>36.0</v>
      </c>
      <c r="F4" s="8">
        <v>4.99</v>
      </c>
      <c r="G4" s="8">
        <v>179.64000000000001</v>
      </c>
      <c r="H4" s="9" t="str">
        <f t="shared" si="1"/>
        <v>Standard</v>
      </c>
      <c r="I4" s="9" t="str">
        <f t="shared" si="2"/>
        <v>Medium</v>
      </c>
      <c r="J4" s="9" t="str">
        <f t="shared" si="3"/>
        <v>Jardine (Central)</v>
      </c>
      <c r="K4" s="9">
        <f t="shared" si="4"/>
        <v>17.964</v>
      </c>
    </row>
    <row r="5">
      <c r="A5" s="5">
        <v>46079.0</v>
      </c>
      <c r="B5" s="6" t="s">
        <v>14</v>
      </c>
      <c r="C5" s="6" t="s">
        <v>18</v>
      </c>
      <c r="D5" s="6" t="s">
        <v>19</v>
      </c>
      <c r="E5" s="7">
        <v>27.0</v>
      </c>
      <c r="F5" s="8">
        <v>19.99</v>
      </c>
      <c r="G5" s="8">
        <v>539.7299999999999</v>
      </c>
      <c r="H5" s="9" t="str">
        <f t="shared" si="1"/>
        <v>High Value</v>
      </c>
      <c r="I5" s="9" t="str">
        <f t="shared" si="2"/>
        <v>Small</v>
      </c>
      <c r="J5" s="9" t="str">
        <f t="shared" si="3"/>
        <v>Gill (Central)</v>
      </c>
      <c r="K5" s="9">
        <f t="shared" si="4"/>
        <v>53.973</v>
      </c>
    </row>
    <row r="6">
      <c r="A6" s="5">
        <v>46096.0</v>
      </c>
      <c r="B6" s="6" t="s">
        <v>20</v>
      </c>
      <c r="C6" s="6" t="s">
        <v>21</v>
      </c>
      <c r="D6" s="6" t="s">
        <v>13</v>
      </c>
      <c r="E6" s="7">
        <v>56.0</v>
      </c>
      <c r="F6" s="8">
        <v>2.99</v>
      </c>
      <c r="G6" s="10">
        <f>E2*F2</f>
        <v>189.05</v>
      </c>
      <c r="H6" s="9" t="str">
        <f t="shared" si="1"/>
        <v>Standard</v>
      </c>
      <c r="I6" s="9" t="str">
        <f t="shared" si="2"/>
        <v>Medium</v>
      </c>
      <c r="J6" s="9" t="str">
        <f t="shared" si="3"/>
        <v>Sorvino (West)</v>
      </c>
      <c r="K6" s="9">
        <f t="shared" si="4"/>
        <v>18.905</v>
      </c>
    </row>
    <row r="7">
      <c r="A7" s="5">
        <v>46113.0</v>
      </c>
      <c r="B7" s="6" t="s">
        <v>11</v>
      </c>
      <c r="C7" s="6" t="s">
        <v>12</v>
      </c>
      <c r="D7" s="6" t="s">
        <v>16</v>
      </c>
      <c r="E7" s="7">
        <v>60.0</v>
      </c>
      <c r="F7" s="8">
        <v>4.99</v>
      </c>
      <c r="G7" s="8">
        <v>299.40000000000003</v>
      </c>
      <c r="H7" s="9" t="str">
        <f t="shared" si="1"/>
        <v>Standard</v>
      </c>
      <c r="I7" s="9" t="str">
        <f t="shared" si="2"/>
        <v>Medium</v>
      </c>
      <c r="J7" s="9" t="str">
        <f t="shared" si="3"/>
        <v>Jones (East)</v>
      </c>
      <c r="K7" s="9">
        <f t="shared" si="4"/>
        <v>29.94</v>
      </c>
    </row>
    <row r="8">
      <c r="A8" s="5">
        <v>46130.0</v>
      </c>
      <c r="B8" s="6" t="s">
        <v>14</v>
      </c>
      <c r="C8" s="6" t="s">
        <v>22</v>
      </c>
      <c r="D8" s="6" t="s">
        <v>13</v>
      </c>
      <c r="E8" s="7">
        <v>75.0</v>
      </c>
      <c r="F8" s="8">
        <v>1.99</v>
      </c>
      <c r="G8" s="8">
        <v>149.25</v>
      </c>
      <c r="H8" s="9" t="str">
        <f t="shared" si="1"/>
        <v>Standard</v>
      </c>
      <c r="I8" s="9" t="str">
        <f t="shared" si="2"/>
        <v>Medium</v>
      </c>
      <c r="J8" s="9" t="str">
        <f t="shared" si="3"/>
        <v>Andrews (Central)</v>
      </c>
      <c r="K8" s="9">
        <f t="shared" si="4"/>
        <v>14.925</v>
      </c>
    </row>
    <row r="9">
      <c r="A9" s="5">
        <v>46147.0</v>
      </c>
      <c r="B9" s="6" t="s">
        <v>14</v>
      </c>
      <c r="C9" s="6" t="s">
        <v>17</v>
      </c>
      <c r="D9" s="6" t="s">
        <v>13</v>
      </c>
      <c r="E9" s="7">
        <v>90.0</v>
      </c>
      <c r="F9" s="8">
        <v>4.99</v>
      </c>
      <c r="G9" s="8">
        <v>449.1</v>
      </c>
      <c r="H9" s="9" t="str">
        <f t="shared" si="1"/>
        <v>Standard</v>
      </c>
      <c r="I9" s="9" t="str">
        <f t="shared" si="2"/>
        <v>Bulk</v>
      </c>
      <c r="J9" s="9" t="str">
        <f t="shared" si="3"/>
        <v>Jardine (Central)</v>
      </c>
      <c r="K9" s="9">
        <f t="shared" si="4"/>
        <v>44.91</v>
      </c>
    </row>
    <row r="10">
      <c r="A10" s="5">
        <v>46164.0</v>
      </c>
      <c r="B10" s="6" t="s">
        <v>20</v>
      </c>
      <c r="C10" s="6" t="s">
        <v>23</v>
      </c>
      <c r="D10" s="6" t="s">
        <v>13</v>
      </c>
      <c r="E10" s="7">
        <v>32.0</v>
      </c>
      <c r="F10" s="8">
        <v>1.99</v>
      </c>
      <c r="G10" s="8">
        <v>63.68</v>
      </c>
      <c r="H10" s="9" t="str">
        <f t="shared" si="1"/>
        <v>Standard</v>
      </c>
      <c r="I10" s="9" t="str">
        <f t="shared" si="2"/>
        <v>Medium</v>
      </c>
      <c r="J10" s="9" t="str">
        <f t="shared" si="3"/>
        <v>Thompson (West)</v>
      </c>
      <c r="K10" s="9">
        <f t="shared" si="4"/>
        <v>6.368</v>
      </c>
    </row>
    <row r="11">
      <c r="A11" s="5">
        <v>46181.0</v>
      </c>
      <c r="B11" s="6" t="s">
        <v>11</v>
      </c>
      <c r="C11" s="6" t="s">
        <v>12</v>
      </c>
      <c r="D11" s="6" t="s">
        <v>16</v>
      </c>
      <c r="E11" s="7">
        <v>60.0</v>
      </c>
      <c r="F11" s="8">
        <v>8.99</v>
      </c>
      <c r="G11" s="8">
        <v>539.4</v>
      </c>
      <c r="H11" s="9" t="str">
        <f t="shared" si="1"/>
        <v>High Value</v>
      </c>
      <c r="I11" s="9" t="str">
        <f t="shared" si="2"/>
        <v>Medium</v>
      </c>
      <c r="J11" s="9" t="str">
        <f t="shared" si="3"/>
        <v>Jones (East)</v>
      </c>
      <c r="K11" s="9">
        <f t="shared" si="4"/>
        <v>53.94</v>
      </c>
    </row>
    <row r="12">
      <c r="A12" s="5">
        <v>46198.0</v>
      </c>
      <c r="B12" s="6" t="s">
        <v>14</v>
      </c>
      <c r="C12" s="6" t="s">
        <v>24</v>
      </c>
      <c r="D12" s="6" t="s">
        <v>13</v>
      </c>
      <c r="E12" s="7">
        <v>90.0</v>
      </c>
      <c r="F12" s="8">
        <v>4.99</v>
      </c>
      <c r="G12" s="8">
        <v>449.1</v>
      </c>
      <c r="H12" s="9" t="str">
        <f t="shared" si="1"/>
        <v>Standard</v>
      </c>
      <c r="I12" s="9" t="str">
        <f t="shared" si="2"/>
        <v>Bulk</v>
      </c>
      <c r="J12" s="9" t="str">
        <f t="shared" si="3"/>
        <v>Morgan (Central)</v>
      </c>
      <c r="K12" s="9">
        <f t="shared" si="4"/>
        <v>44.91</v>
      </c>
    </row>
    <row r="13">
      <c r="A13" s="5">
        <v>46215.0</v>
      </c>
      <c r="B13" s="6" t="s">
        <v>11</v>
      </c>
      <c r="C13" s="6" t="s">
        <v>25</v>
      </c>
      <c r="D13" s="6" t="s">
        <v>16</v>
      </c>
      <c r="E13" s="7">
        <v>29.0</v>
      </c>
      <c r="F13" s="8">
        <v>1.99</v>
      </c>
      <c r="G13" s="8">
        <v>57.71</v>
      </c>
      <c r="H13" s="9" t="str">
        <f t="shared" si="1"/>
        <v>Standard</v>
      </c>
      <c r="I13" s="9" t="str">
        <f t="shared" si="2"/>
        <v>Small</v>
      </c>
      <c r="J13" s="9" t="str">
        <f t="shared" si="3"/>
        <v>Howard (East)</v>
      </c>
      <c r="K13" s="9">
        <f t="shared" si="4"/>
        <v>5.771</v>
      </c>
    </row>
    <row r="14">
      <c r="A14" s="5">
        <v>46232.0</v>
      </c>
      <c r="B14" s="6" t="s">
        <v>11</v>
      </c>
      <c r="C14" s="6" t="s">
        <v>26</v>
      </c>
      <c r="D14" s="6" t="s">
        <v>16</v>
      </c>
      <c r="E14" s="7">
        <v>81.0</v>
      </c>
      <c r="F14" s="8">
        <v>19.99</v>
      </c>
      <c r="G14" s="8">
        <v>1619.1899999999998</v>
      </c>
      <c r="H14" s="9" t="str">
        <f t="shared" si="1"/>
        <v>High Value</v>
      </c>
      <c r="I14" s="9" t="str">
        <f t="shared" si="2"/>
        <v>Bulk</v>
      </c>
      <c r="J14" s="9" t="str">
        <f t="shared" si="3"/>
        <v>Parent (East)</v>
      </c>
      <c r="K14" s="9">
        <f t="shared" si="4"/>
        <v>161.919</v>
      </c>
    </row>
    <row r="15">
      <c r="A15" s="5">
        <v>46249.0</v>
      </c>
      <c r="B15" s="6" t="s">
        <v>11</v>
      </c>
      <c r="C15" s="6" t="s">
        <v>12</v>
      </c>
      <c r="D15" s="6" t="s">
        <v>13</v>
      </c>
      <c r="E15" s="7">
        <v>35.0</v>
      </c>
      <c r="F15" s="8">
        <v>4.99</v>
      </c>
      <c r="G15" s="8">
        <v>174.65</v>
      </c>
      <c r="H15" s="9" t="str">
        <f t="shared" si="1"/>
        <v>Standard</v>
      </c>
      <c r="I15" s="9" t="str">
        <f t="shared" si="2"/>
        <v>Medium</v>
      </c>
      <c r="J15" s="9" t="str">
        <f t="shared" si="3"/>
        <v>Jones (East)</v>
      </c>
      <c r="K15" s="9">
        <f t="shared" si="4"/>
        <v>17.465</v>
      </c>
    </row>
    <row r="16">
      <c r="A16" s="5">
        <v>46266.0</v>
      </c>
      <c r="B16" s="6" t="s">
        <v>14</v>
      </c>
      <c r="C16" s="6" t="s">
        <v>27</v>
      </c>
      <c r="D16" s="6" t="s">
        <v>28</v>
      </c>
      <c r="E16" s="7">
        <v>2.0</v>
      </c>
      <c r="F16" s="8">
        <v>125.0</v>
      </c>
      <c r="G16" s="8">
        <v>250.0</v>
      </c>
      <c r="H16" s="9" t="str">
        <f t="shared" si="1"/>
        <v>Standard</v>
      </c>
      <c r="I16" s="9" t="str">
        <f t="shared" si="2"/>
        <v>Small</v>
      </c>
      <c r="J16" s="9" t="str">
        <f t="shared" si="3"/>
        <v>Smith (Central)</v>
      </c>
      <c r="K16" s="9">
        <f t="shared" si="4"/>
        <v>25</v>
      </c>
    </row>
    <row r="17">
      <c r="A17" s="5">
        <v>46283.0</v>
      </c>
      <c r="B17" s="6" t="s">
        <v>11</v>
      </c>
      <c r="C17" s="6" t="s">
        <v>12</v>
      </c>
      <c r="D17" s="6" t="s">
        <v>29</v>
      </c>
      <c r="E17" s="7">
        <v>16.0</v>
      </c>
      <c r="F17" s="8">
        <v>15.99</v>
      </c>
      <c r="G17" s="11">
        <f>E2*F2</f>
        <v>189.05</v>
      </c>
      <c r="H17" s="9" t="str">
        <f t="shared" si="1"/>
        <v>Standard</v>
      </c>
      <c r="I17" s="9" t="str">
        <f t="shared" si="2"/>
        <v>Small</v>
      </c>
      <c r="J17" s="9" t="str">
        <f t="shared" si="3"/>
        <v>Jones (East)</v>
      </c>
      <c r="K17" s="9">
        <f t="shared" si="4"/>
        <v>18.905</v>
      </c>
    </row>
    <row r="18">
      <c r="A18" s="5">
        <v>46300.0</v>
      </c>
      <c r="B18" s="6" t="s">
        <v>14</v>
      </c>
      <c r="C18" s="6" t="s">
        <v>24</v>
      </c>
      <c r="D18" s="6" t="s">
        <v>16</v>
      </c>
      <c r="E18" s="7">
        <v>28.0</v>
      </c>
      <c r="F18" s="8">
        <v>8.99</v>
      </c>
      <c r="G18" s="8">
        <v>251.72</v>
      </c>
      <c r="H18" s="9" t="str">
        <f t="shared" si="1"/>
        <v>Standard</v>
      </c>
      <c r="I18" s="9" t="str">
        <f t="shared" si="2"/>
        <v>Small</v>
      </c>
      <c r="J18" s="9" t="str">
        <f t="shared" si="3"/>
        <v>Morgan (Central)</v>
      </c>
      <c r="K18" s="9">
        <f t="shared" si="4"/>
        <v>25.172</v>
      </c>
    </row>
    <row r="19">
      <c r="A19" s="5">
        <v>46317.0</v>
      </c>
      <c r="B19" s="6" t="s">
        <v>11</v>
      </c>
      <c r="C19" s="6" t="s">
        <v>12</v>
      </c>
      <c r="D19" s="6" t="s">
        <v>19</v>
      </c>
      <c r="E19" s="7">
        <v>64.0</v>
      </c>
      <c r="F19" s="8">
        <v>8.99</v>
      </c>
      <c r="G19" s="8">
        <v>575.36</v>
      </c>
      <c r="H19" s="9" t="str">
        <f t="shared" si="1"/>
        <v>High Value</v>
      </c>
      <c r="I19" s="9" t="str">
        <f t="shared" si="2"/>
        <v>Medium</v>
      </c>
      <c r="J19" s="9" t="str">
        <f t="shared" si="3"/>
        <v>Jones (East)</v>
      </c>
      <c r="K19" s="9">
        <f t="shared" si="4"/>
        <v>57.536</v>
      </c>
    </row>
    <row r="20">
      <c r="A20" s="5">
        <v>46334.0</v>
      </c>
      <c r="B20" s="6" t="s">
        <v>11</v>
      </c>
      <c r="C20" s="6" t="s">
        <v>26</v>
      </c>
      <c r="D20" s="6" t="s">
        <v>19</v>
      </c>
      <c r="E20" s="7">
        <v>15.0</v>
      </c>
      <c r="F20" s="8">
        <v>19.99</v>
      </c>
      <c r="G20" s="8">
        <v>299.84999999999997</v>
      </c>
      <c r="H20" s="9" t="str">
        <f t="shared" si="1"/>
        <v>Standard</v>
      </c>
      <c r="I20" s="9" t="str">
        <f t="shared" si="2"/>
        <v>Small</v>
      </c>
      <c r="J20" s="9" t="str">
        <f t="shared" si="3"/>
        <v>Parent (East)</v>
      </c>
      <c r="K20" s="9">
        <f t="shared" si="4"/>
        <v>29.985</v>
      </c>
    </row>
    <row r="21">
      <c r="A21" s="5">
        <v>46351.0</v>
      </c>
      <c r="B21" s="6" t="s">
        <v>14</v>
      </c>
      <c r="C21" s="6" t="s">
        <v>15</v>
      </c>
      <c r="D21" s="6" t="s">
        <v>29</v>
      </c>
      <c r="E21" s="7">
        <v>96.0</v>
      </c>
      <c r="F21" s="8">
        <v>4.99</v>
      </c>
      <c r="G21" s="8">
        <v>479.04</v>
      </c>
      <c r="H21" s="9" t="str">
        <f t="shared" si="1"/>
        <v>Standard</v>
      </c>
      <c r="I21" s="9" t="str">
        <f t="shared" si="2"/>
        <v>Bulk</v>
      </c>
      <c r="J21" s="9" t="str">
        <f t="shared" si="3"/>
        <v>Kivell (Central)</v>
      </c>
      <c r="K21" s="9">
        <f t="shared" si="4"/>
        <v>47.904</v>
      </c>
    </row>
    <row r="22">
      <c r="A22" s="5">
        <v>46368.0</v>
      </c>
      <c r="B22" s="6" t="s">
        <v>14</v>
      </c>
      <c r="C22" s="6" t="s">
        <v>27</v>
      </c>
      <c r="D22" s="6" t="s">
        <v>13</v>
      </c>
      <c r="E22" s="7">
        <v>67.0</v>
      </c>
      <c r="F22" s="8">
        <v>1.29</v>
      </c>
      <c r="G22" s="8">
        <v>86.43</v>
      </c>
      <c r="H22" s="9" t="str">
        <f t="shared" si="1"/>
        <v>Standard</v>
      </c>
      <c r="I22" s="9" t="str">
        <f t="shared" si="2"/>
        <v>Medium</v>
      </c>
      <c r="J22" s="9" t="str">
        <f t="shared" si="3"/>
        <v>Smith (Central)</v>
      </c>
      <c r="K22" s="9">
        <f t="shared" si="4"/>
        <v>8.643</v>
      </c>
    </row>
    <row r="23">
      <c r="A23" s="5">
        <v>46385.0</v>
      </c>
      <c r="B23" s="6" t="s">
        <v>11</v>
      </c>
      <c r="C23" s="6" t="s">
        <v>26</v>
      </c>
      <c r="D23" s="6" t="s">
        <v>29</v>
      </c>
      <c r="E23" s="7">
        <v>74.0</v>
      </c>
      <c r="F23" s="8">
        <v>15.99</v>
      </c>
      <c r="G23" s="8">
        <v>1183.26</v>
      </c>
      <c r="H23" s="9" t="str">
        <f t="shared" si="1"/>
        <v>High Value</v>
      </c>
      <c r="I23" s="9" t="str">
        <f t="shared" si="2"/>
        <v>Medium</v>
      </c>
      <c r="J23" s="9" t="str">
        <f t="shared" si="3"/>
        <v>Parent (East)</v>
      </c>
      <c r="K23" s="9">
        <f t="shared" si="4"/>
        <v>118.326</v>
      </c>
    </row>
    <row r="24">
      <c r="A24" s="5">
        <v>46402.0</v>
      </c>
      <c r="B24" s="6" t="s">
        <v>14</v>
      </c>
      <c r="C24" s="6" t="s">
        <v>18</v>
      </c>
      <c r="D24" s="6" t="s">
        <v>16</v>
      </c>
      <c r="E24" s="7">
        <v>46.0</v>
      </c>
      <c r="F24" s="8">
        <v>8.99</v>
      </c>
      <c r="G24" s="11">
        <f>E2*F2</f>
        <v>189.05</v>
      </c>
      <c r="H24" s="9" t="str">
        <f t="shared" si="1"/>
        <v>Standard</v>
      </c>
      <c r="I24" s="9" t="str">
        <f t="shared" si="2"/>
        <v>Medium</v>
      </c>
      <c r="J24" s="9" t="str">
        <f t="shared" si="3"/>
        <v>Gill (Central)</v>
      </c>
      <c r="K24" s="9">
        <f t="shared" si="4"/>
        <v>18.905</v>
      </c>
    </row>
    <row r="25">
      <c r="A25" s="5">
        <v>46419.0</v>
      </c>
      <c r="B25" s="6" t="s">
        <v>14</v>
      </c>
      <c r="C25" s="6" t="s">
        <v>27</v>
      </c>
      <c r="D25" s="6" t="s">
        <v>16</v>
      </c>
      <c r="E25" s="7">
        <v>87.0</v>
      </c>
      <c r="F25" s="8">
        <v>15.0</v>
      </c>
      <c r="G25" s="8">
        <v>1305.0</v>
      </c>
      <c r="H25" s="9" t="str">
        <f t="shared" si="1"/>
        <v>High Value</v>
      </c>
      <c r="I25" s="9" t="str">
        <f t="shared" si="2"/>
        <v>Bulk</v>
      </c>
      <c r="J25" s="9" t="str">
        <f t="shared" si="3"/>
        <v>Smith (Central)</v>
      </c>
      <c r="K25" s="9">
        <f t="shared" si="4"/>
        <v>130.5</v>
      </c>
    </row>
    <row r="26">
      <c r="A26" s="5">
        <v>46436.0</v>
      </c>
      <c r="B26" s="6" t="s">
        <v>11</v>
      </c>
      <c r="C26" s="6" t="s">
        <v>12</v>
      </c>
      <c r="D26" s="6" t="s">
        <v>16</v>
      </c>
      <c r="E26" s="7">
        <v>4.0</v>
      </c>
      <c r="F26" s="8">
        <v>4.99</v>
      </c>
      <c r="G26" s="8">
        <v>19.96</v>
      </c>
      <c r="H26" s="9" t="str">
        <f t="shared" si="1"/>
        <v>Standard</v>
      </c>
      <c r="I26" s="9" t="str">
        <f t="shared" si="2"/>
        <v>Small</v>
      </c>
      <c r="J26" s="9" t="str">
        <f t="shared" si="3"/>
        <v>Jones (East)</v>
      </c>
      <c r="K26" s="9">
        <f t="shared" si="4"/>
        <v>1.996</v>
      </c>
    </row>
    <row r="27">
      <c r="A27" s="5">
        <v>46453.0</v>
      </c>
      <c r="B27" s="6" t="s">
        <v>20</v>
      </c>
      <c r="C27" s="6" t="s">
        <v>21</v>
      </c>
      <c r="D27" s="6" t="s">
        <v>16</v>
      </c>
      <c r="E27" s="7">
        <v>7.0</v>
      </c>
      <c r="F27" s="8">
        <v>19.99</v>
      </c>
      <c r="G27" s="8">
        <v>139.92999999999998</v>
      </c>
      <c r="H27" s="9" t="str">
        <f t="shared" si="1"/>
        <v>Standard</v>
      </c>
      <c r="I27" s="9" t="str">
        <f t="shared" si="2"/>
        <v>Small</v>
      </c>
      <c r="J27" s="9" t="str">
        <f t="shared" si="3"/>
        <v>Sorvino (West)</v>
      </c>
      <c r="K27" s="9">
        <f t="shared" si="4"/>
        <v>13.993</v>
      </c>
    </row>
    <row r="28">
      <c r="A28" s="5">
        <v>46470.0</v>
      </c>
      <c r="B28" s="6" t="s">
        <v>14</v>
      </c>
      <c r="C28" s="6" t="s">
        <v>17</v>
      </c>
      <c r="D28" s="6" t="s">
        <v>29</v>
      </c>
      <c r="E28" s="7">
        <v>50.0</v>
      </c>
      <c r="F28" s="8">
        <v>4.99</v>
      </c>
      <c r="G28" s="8">
        <v>249.5</v>
      </c>
      <c r="H28" s="9" t="str">
        <f t="shared" si="1"/>
        <v>Standard</v>
      </c>
      <c r="I28" s="9" t="str">
        <f t="shared" si="2"/>
        <v>Medium</v>
      </c>
      <c r="J28" s="9" t="str">
        <f t="shared" si="3"/>
        <v>Jardine (Central)</v>
      </c>
      <c r="K28" s="9">
        <f t="shared" si="4"/>
        <v>24.95</v>
      </c>
    </row>
    <row r="29">
      <c r="A29" s="5">
        <v>46487.0</v>
      </c>
      <c r="B29" s="6" t="s">
        <v>14</v>
      </c>
      <c r="C29" s="6" t="s">
        <v>22</v>
      </c>
      <c r="D29" s="6" t="s">
        <v>13</v>
      </c>
      <c r="E29" s="7">
        <v>66.0</v>
      </c>
      <c r="F29" s="8">
        <v>1.99</v>
      </c>
      <c r="G29" s="8">
        <v>131.34</v>
      </c>
      <c r="H29" s="9" t="str">
        <f t="shared" si="1"/>
        <v>Standard</v>
      </c>
      <c r="I29" s="9" t="str">
        <f t="shared" si="2"/>
        <v>Medium</v>
      </c>
      <c r="J29" s="9" t="str">
        <f t="shared" si="3"/>
        <v>Andrews (Central)</v>
      </c>
      <c r="K29" s="9">
        <f t="shared" si="4"/>
        <v>13.134</v>
      </c>
    </row>
    <row r="30">
      <c r="A30" s="5">
        <v>46504.0</v>
      </c>
      <c r="B30" s="6" t="s">
        <v>11</v>
      </c>
      <c r="C30" s="6" t="s">
        <v>25</v>
      </c>
      <c r="D30" s="6" t="s">
        <v>19</v>
      </c>
      <c r="E30" s="7">
        <v>96.0</v>
      </c>
      <c r="F30" s="8">
        <v>4.99</v>
      </c>
      <c r="G30" s="8">
        <v>479.04</v>
      </c>
      <c r="H30" s="9" t="str">
        <f t="shared" si="1"/>
        <v>Standard</v>
      </c>
      <c r="I30" s="9" t="str">
        <f t="shared" si="2"/>
        <v>Bulk</v>
      </c>
      <c r="J30" s="9" t="str">
        <f t="shared" si="3"/>
        <v>Howard (East)</v>
      </c>
      <c r="K30" s="9">
        <f t="shared" si="4"/>
        <v>47.904</v>
      </c>
    </row>
    <row r="31">
      <c r="A31" s="5">
        <v>46521.0</v>
      </c>
      <c r="B31" s="6" t="s">
        <v>14</v>
      </c>
      <c r="C31" s="6" t="s">
        <v>18</v>
      </c>
      <c r="D31" s="6" t="s">
        <v>13</v>
      </c>
      <c r="E31" s="7">
        <v>53.0</v>
      </c>
      <c r="F31" s="8">
        <v>1.29</v>
      </c>
      <c r="G31" s="8">
        <v>68.37</v>
      </c>
      <c r="H31" s="9" t="str">
        <f t="shared" si="1"/>
        <v>Standard</v>
      </c>
      <c r="I31" s="9" t="str">
        <f t="shared" si="2"/>
        <v>Medium</v>
      </c>
      <c r="J31" s="9" t="str">
        <f t="shared" si="3"/>
        <v>Gill (Central)</v>
      </c>
      <c r="K31" s="9">
        <f t="shared" si="4"/>
        <v>6.837</v>
      </c>
    </row>
    <row r="32">
      <c r="A32" s="5">
        <v>46538.0</v>
      </c>
      <c r="B32" s="6" t="s">
        <v>14</v>
      </c>
      <c r="C32" s="6" t="s">
        <v>18</v>
      </c>
      <c r="D32" s="6" t="s">
        <v>16</v>
      </c>
      <c r="E32" s="7">
        <v>80.0</v>
      </c>
      <c r="F32" s="8">
        <v>8.99</v>
      </c>
      <c r="G32" s="8">
        <v>719.2</v>
      </c>
      <c r="H32" s="9" t="str">
        <f t="shared" si="1"/>
        <v>High Value</v>
      </c>
      <c r="I32" s="9" t="str">
        <f t="shared" si="2"/>
        <v>Bulk</v>
      </c>
      <c r="J32" s="9" t="str">
        <f t="shared" si="3"/>
        <v>Gill (Central)</v>
      </c>
      <c r="K32" s="9">
        <f t="shared" si="4"/>
        <v>71.92</v>
      </c>
    </row>
    <row r="33">
      <c r="A33" s="5">
        <v>46555.0</v>
      </c>
      <c r="B33" s="6" t="s">
        <v>14</v>
      </c>
      <c r="C33" s="6" t="s">
        <v>15</v>
      </c>
      <c r="D33" s="6" t="s">
        <v>28</v>
      </c>
      <c r="E33" s="7">
        <v>5.0</v>
      </c>
      <c r="F33" s="8">
        <v>125.0</v>
      </c>
      <c r="G33" s="8">
        <v>625.0</v>
      </c>
      <c r="H33" s="9" t="str">
        <f t="shared" si="1"/>
        <v>High Value</v>
      </c>
      <c r="I33" s="9" t="str">
        <f t="shared" si="2"/>
        <v>Small</v>
      </c>
      <c r="J33" s="9" t="str">
        <f t="shared" si="3"/>
        <v>Kivell (Central)</v>
      </c>
      <c r="K33" s="9">
        <f t="shared" si="4"/>
        <v>62.5</v>
      </c>
    </row>
    <row r="34">
      <c r="A34" s="5">
        <v>46572.0</v>
      </c>
      <c r="B34" s="6" t="s">
        <v>11</v>
      </c>
      <c r="C34" s="6" t="s">
        <v>12</v>
      </c>
      <c r="D34" s="6" t="s">
        <v>29</v>
      </c>
      <c r="E34" s="7">
        <v>62.0</v>
      </c>
      <c r="F34" s="8">
        <v>4.99</v>
      </c>
      <c r="G34" s="8">
        <v>309.38</v>
      </c>
      <c r="H34" s="9" t="str">
        <f t="shared" si="1"/>
        <v>Standard</v>
      </c>
      <c r="I34" s="9" t="str">
        <f t="shared" si="2"/>
        <v>Medium</v>
      </c>
      <c r="J34" s="9" t="str">
        <f t="shared" si="3"/>
        <v>Jones (East)</v>
      </c>
      <c r="K34" s="9">
        <f t="shared" si="4"/>
        <v>30.938</v>
      </c>
    </row>
    <row r="35">
      <c r="A35" s="5">
        <v>46589.0</v>
      </c>
      <c r="B35" s="6" t="s">
        <v>14</v>
      </c>
      <c r="C35" s="6" t="s">
        <v>24</v>
      </c>
      <c r="D35" s="6" t="s">
        <v>29</v>
      </c>
      <c r="E35" s="7">
        <v>55.0</v>
      </c>
      <c r="F35" s="8">
        <v>12.49</v>
      </c>
      <c r="G35" s="8">
        <v>686.95</v>
      </c>
      <c r="H35" s="9" t="str">
        <f t="shared" si="1"/>
        <v>High Value</v>
      </c>
      <c r="I35" s="9" t="str">
        <f t="shared" si="2"/>
        <v>Medium</v>
      </c>
      <c r="J35" s="9" t="str">
        <f t="shared" si="3"/>
        <v>Morgan (Central)</v>
      </c>
      <c r="K35" s="9">
        <f t="shared" si="4"/>
        <v>68.695</v>
      </c>
    </row>
    <row r="36">
      <c r="A36" s="5">
        <v>46606.0</v>
      </c>
      <c r="B36" s="6" t="s">
        <v>14</v>
      </c>
      <c r="C36" s="6" t="s">
        <v>15</v>
      </c>
      <c r="D36" s="6" t="s">
        <v>29</v>
      </c>
      <c r="E36" s="7">
        <v>42.0</v>
      </c>
      <c r="F36" s="8">
        <v>23.95</v>
      </c>
      <c r="G36" s="8">
        <v>1005.9</v>
      </c>
      <c r="H36" s="9" t="str">
        <f t="shared" si="1"/>
        <v>High Value</v>
      </c>
      <c r="I36" s="9" t="str">
        <f t="shared" si="2"/>
        <v>Medium</v>
      </c>
      <c r="J36" s="9" t="str">
        <f t="shared" si="3"/>
        <v>Kivell (Central)</v>
      </c>
      <c r="K36" s="9">
        <f t="shared" si="4"/>
        <v>100.59</v>
      </c>
    </row>
    <row r="37">
      <c r="A37" s="5">
        <v>46623.0</v>
      </c>
      <c r="B37" s="6" t="s">
        <v>20</v>
      </c>
      <c r="C37" s="6" t="s">
        <v>21</v>
      </c>
      <c r="D37" s="6" t="s">
        <v>28</v>
      </c>
      <c r="E37" s="7">
        <v>3.0</v>
      </c>
      <c r="F37" s="8">
        <v>275.0</v>
      </c>
      <c r="G37" s="8">
        <v>825.0</v>
      </c>
      <c r="H37" s="9" t="str">
        <f t="shared" si="1"/>
        <v>High Value</v>
      </c>
      <c r="I37" s="9" t="str">
        <f t="shared" si="2"/>
        <v>Small</v>
      </c>
      <c r="J37" s="9" t="str">
        <f t="shared" si="3"/>
        <v>Sorvino (West)</v>
      </c>
      <c r="K37" s="9">
        <f t="shared" si="4"/>
        <v>82.5</v>
      </c>
    </row>
    <row r="38">
      <c r="A38" s="5">
        <v>46640.0</v>
      </c>
      <c r="B38" s="6" t="s">
        <v>14</v>
      </c>
      <c r="C38" s="6" t="s">
        <v>18</v>
      </c>
      <c r="D38" s="6" t="s">
        <v>13</v>
      </c>
      <c r="E38" s="7">
        <v>7.0</v>
      </c>
      <c r="F38" s="8">
        <v>1.29</v>
      </c>
      <c r="G38" s="8">
        <v>9.030000000000001</v>
      </c>
      <c r="H38" s="9" t="str">
        <f t="shared" si="1"/>
        <v>Standard</v>
      </c>
      <c r="I38" s="9" t="str">
        <f t="shared" si="2"/>
        <v>Small</v>
      </c>
      <c r="J38" s="9" t="str">
        <f t="shared" si="3"/>
        <v>Gill (Central)</v>
      </c>
      <c r="K38" s="9">
        <f t="shared" si="4"/>
        <v>0.903</v>
      </c>
    </row>
    <row r="39">
      <c r="A39" s="5">
        <v>46657.0</v>
      </c>
      <c r="B39" s="6" t="s">
        <v>20</v>
      </c>
      <c r="C39" s="6" t="s">
        <v>21</v>
      </c>
      <c r="D39" s="6" t="s">
        <v>19</v>
      </c>
      <c r="E39" s="7">
        <v>76.0</v>
      </c>
      <c r="F39" s="8">
        <v>1.99</v>
      </c>
      <c r="G39" s="8">
        <v>151.24</v>
      </c>
      <c r="H39" s="9" t="str">
        <f t="shared" si="1"/>
        <v>Standard</v>
      </c>
      <c r="I39" s="9" t="str">
        <f t="shared" si="2"/>
        <v>Bulk</v>
      </c>
      <c r="J39" s="9" t="str">
        <f t="shared" si="3"/>
        <v>Sorvino (West)</v>
      </c>
      <c r="K39" s="9">
        <f t="shared" si="4"/>
        <v>15.124</v>
      </c>
    </row>
    <row r="40">
      <c r="A40" s="5">
        <v>46674.0</v>
      </c>
      <c r="B40" s="6" t="s">
        <v>20</v>
      </c>
      <c r="C40" s="6" t="s">
        <v>23</v>
      </c>
      <c r="D40" s="6" t="s">
        <v>16</v>
      </c>
      <c r="E40" s="7">
        <v>57.0</v>
      </c>
      <c r="F40" s="8">
        <v>19.99</v>
      </c>
      <c r="G40" s="8">
        <v>1139.4299999999998</v>
      </c>
      <c r="H40" s="9" t="str">
        <f t="shared" si="1"/>
        <v>High Value</v>
      </c>
      <c r="I40" s="9" t="str">
        <f t="shared" si="2"/>
        <v>Medium</v>
      </c>
      <c r="J40" s="9" t="str">
        <f t="shared" si="3"/>
        <v>Thompson (West)</v>
      </c>
      <c r="K40" s="9">
        <f t="shared" si="4"/>
        <v>113.943</v>
      </c>
    </row>
    <row r="41">
      <c r="A41" s="5">
        <v>46691.0</v>
      </c>
      <c r="B41" s="6" t="s">
        <v>14</v>
      </c>
      <c r="C41" s="6" t="s">
        <v>22</v>
      </c>
      <c r="D41" s="6" t="s">
        <v>13</v>
      </c>
      <c r="E41" s="7">
        <v>14.0</v>
      </c>
      <c r="F41" s="8">
        <v>1.29</v>
      </c>
      <c r="G41" s="8">
        <v>18.060000000000002</v>
      </c>
      <c r="H41" s="9" t="str">
        <f t="shared" si="1"/>
        <v>Standard</v>
      </c>
      <c r="I41" s="9" t="str">
        <f t="shared" si="2"/>
        <v>Small</v>
      </c>
      <c r="J41" s="9" t="str">
        <f t="shared" si="3"/>
        <v>Andrews (Central)</v>
      </c>
      <c r="K41" s="9">
        <f t="shared" si="4"/>
        <v>1.806</v>
      </c>
    </row>
    <row r="42">
      <c r="A42" s="5">
        <v>46708.0</v>
      </c>
      <c r="B42" s="6" t="s">
        <v>14</v>
      </c>
      <c r="C42" s="6" t="s">
        <v>17</v>
      </c>
      <c r="D42" s="6" t="s">
        <v>16</v>
      </c>
      <c r="E42" s="7">
        <v>11.0</v>
      </c>
      <c r="F42" s="8">
        <v>4.99</v>
      </c>
      <c r="G42" s="8">
        <v>54.89</v>
      </c>
      <c r="H42" s="9" t="str">
        <f t="shared" si="1"/>
        <v>Standard</v>
      </c>
      <c r="I42" s="9" t="str">
        <f t="shared" si="2"/>
        <v>Small</v>
      </c>
      <c r="J42" s="9" t="str">
        <f t="shared" si="3"/>
        <v>Jardine (Central)</v>
      </c>
      <c r="K42" s="9">
        <f t="shared" si="4"/>
        <v>5.489</v>
      </c>
    </row>
    <row r="43">
      <c r="A43" s="5">
        <v>46725.0</v>
      </c>
      <c r="B43" s="6" t="s">
        <v>14</v>
      </c>
      <c r="C43" s="6" t="s">
        <v>17</v>
      </c>
      <c r="D43" s="6" t="s">
        <v>16</v>
      </c>
      <c r="E43" s="7">
        <v>94.0</v>
      </c>
      <c r="F43" s="8">
        <v>19.99</v>
      </c>
      <c r="G43" s="8">
        <v>1879.06</v>
      </c>
      <c r="H43" s="9" t="str">
        <f t="shared" si="1"/>
        <v>High Value</v>
      </c>
      <c r="I43" s="9" t="str">
        <f t="shared" si="2"/>
        <v>Bulk</v>
      </c>
      <c r="J43" s="9" t="str">
        <f t="shared" si="3"/>
        <v>Jardine (Central)</v>
      </c>
      <c r="K43" s="9">
        <f t="shared" si="4"/>
        <v>187.906</v>
      </c>
    </row>
    <row r="44">
      <c r="A44" s="5">
        <v>46742.0</v>
      </c>
      <c r="B44" s="6" t="s">
        <v>14</v>
      </c>
      <c r="C44" s="6" t="s">
        <v>22</v>
      </c>
      <c r="D44" s="6" t="s">
        <v>16</v>
      </c>
      <c r="E44" s="7">
        <v>28.0</v>
      </c>
      <c r="F44" s="8">
        <v>4.99</v>
      </c>
      <c r="G44" s="8">
        <v>139.72</v>
      </c>
      <c r="H44" s="9" t="str">
        <f t="shared" si="1"/>
        <v>Standard</v>
      </c>
      <c r="I44" s="9" t="str">
        <f t="shared" si="2"/>
        <v>Small</v>
      </c>
      <c r="J44" s="9" t="str">
        <f t="shared" si="3"/>
        <v>Andrews (Central)</v>
      </c>
      <c r="K44" s="9">
        <f t="shared" si="4"/>
        <v>13.972</v>
      </c>
    </row>
    <row r="46">
      <c r="A46" s="4" t="s">
        <v>30</v>
      </c>
      <c r="B46" s="9">
        <f>COUNTBLANK(G2:G44)</f>
        <v>0</v>
      </c>
    </row>
    <row r="47">
      <c r="A47" s="4" t="s">
        <v>31</v>
      </c>
      <c r="B47" s="9">
        <f>COUNTA(G2:G44)</f>
        <v>43</v>
      </c>
    </row>
    <row r="48">
      <c r="A48" s="4" t="s">
        <v>32</v>
      </c>
      <c r="B48" s="10">
        <f>SUM(G2:G44)</f>
        <v>19358.21</v>
      </c>
    </row>
    <row r="49">
      <c r="A49" s="4" t="s">
        <v>33</v>
      </c>
      <c r="B49" s="9">
        <f>COUNTA(A2:A44)</f>
        <v>43</v>
      </c>
    </row>
    <row r="50">
      <c r="A50" s="4" t="s">
        <v>34</v>
      </c>
      <c r="B50" s="10">
        <f>AVERAGE(F2:F44)</f>
        <v>20.30860465</v>
      </c>
    </row>
    <row r="51">
      <c r="A51" s="4" t="s">
        <v>35</v>
      </c>
      <c r="B51" s="9">
        <f>MAX(E2:E44)</f>
        <v>96</v>
      </c>
    </row>
    <row r="52">
      <c r="A52" s="4" t="s">
        <v>36</v>
      </c>
      <c r="B52" s="10">
        <f>MIN(G2:G44)</f>
        <v>9.03</v>
      </c>
    </row>
    <row r="53">
      <c r="A53" s="4" t="s">
        <v>37</v>
      </c>
      <c r="B53" s="9">
        <f>COUNTIF(D2:D44, "Pencil")</f>
        <v>13</v>
      </c>
    </row>
    <row r="54">
      <c r="A54" s="4" t="s">
        <v>38</v>
      </c>
      <c r="B54" s="9">
        <f>COUNTIF(B2:B44, "Central")</f>
        <v>24</v>
      </c>
    </row>
    <row r="55">
      <c r="A55" s="4" t="s">
        <v>39</v>
      </c>
      <c r="B55" s="9">
        <f>SUMIF(B2:B44, "East", G2:G44)</f>
        <v>5935.3</v>
      </c>
    </row>
    <row r="56">
      <c r="A56" s="4" t="s">
        <v>40</v>
      </c>
      <c r="B56" s="9">
        <f>SUMIF(C2:C44, "Jones", E2:E44)</f>
        <v>396</v>
      </c>
    </row>
    <row r="57">
      <c r="A57" s="4" t="s">
        <v>41</v>
      </c>
      <c r="B57" s="9">
        <f>AVERAGEIF(D2:D44, "Binder", G2:G44)</f>
        <v>623.544</v>
      </c>
    </row>
    <row r="58">
      <c r="A58" s="4" t="s">
        <v>42</v>
      </c>
      <c r="B58" s="9">
        <f>COUNTIFS(C2:C44, "Jones", B2:B44, "East")</f>
        <v>8</v>
      </c>
    </row>
    <row r="59">
      <c r="A59" s="4" t="s">
        <v>43</v>
      </c>
      <c r="B59" s="9">
        <f>SUMIFS(G2:G44, D2:D44, "Pencil", C2:C44, "Jardine")</f>
        <v>628.74</v>
      </c>
    </row>
    <row r="60">
      <c r="A60" s="4" t="s">
        <v>44</v>
      </c>
      <c r="B60" s="9" t="str">
        <f t="array" ref="B60">_xlfn.XLOOKUP(DATE(2026,1,23), A2:A44, D2:D44)</f>
        <v>Binder</v>
      </c>
    </row>
    <row r="61">
      <c r="A61" s="4" t="s">
        <v>45</v>
      </c>
      <c r="B61" s="10">
        <f t="array" ref="B61">_xlfn.XLOOKUP(DATE(2026,2,9), A2:A44, G2:G44)</f>
        <v>179.64</v>
      </c>
    </row>
    <row r="62">
      <c r="A62" s="4" t="s">
        <v>46</v>
      </c>
      <c r="B62" s="9">
        <f>COUNTIFS(A2:A44, "&gt;=2026-01-01", A2:A44, "&lt;=2026-01-31")</f>
        <v>2</v>
      </c>
    </row>
    <row r="63">
      <c r="A63" s="4" t="s">
        <v>47</v>
      </c>
      <c r="B63" s="9" t="str">
        <f>UPPER(D2)</f>
        <v>PENCIL</v>
      </c>
    </row>
    <row r="64">
      <c r="A64" s="4" t="s">
        <v>48</v>
      </c>
      <c r="B64" s="9">
        <f>LEN(C3)</f>
        <v>6</v>
      </c>
    </row>
    <row r="65">
      <c r="A65" s="4" t="s">
        <v>49</v>
      </c>
      <c r="B65" s="9">
        <f>COUNTIFS(B2:B44, "Central", D2:D44, "Pencil")</f>
        <v>9</v>
      </c>
    </row>
    <row r="66">
      <c r="A66" s="4" t="s">
        <v>50</v>
      </c>
      <c r="B66" s="10">
        <f>ROUND(AVERAGE(F2:F44), 1)</f>
        <v>20.3</v>
      </c>
    </row>
  </sheetData>
  <drawing r:id="rId1"/>
</worksheet>
</file>